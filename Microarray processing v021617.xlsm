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in\Dropbox\Postdoc Work\microarray\most updated macro\"/>
    </mc:Choice>
  </mc:AlternateContent>
  <bookViews>
    <workbookView xWindow="0" yWindow="0" windowWidth="2430" windowHeight="435" tabRatio="568" activeTab="2"/>
  </bookViews>
  <sheets>
    <sheet name="probe list" sheetId="296" r:id="rId1"/>
    <sheet name="convert sample" sheetId="295" r:id="rId2"/>
    <sheet name="block list" sheetId="481" r:id="rId3"/>
    <sheet name="parameter" sheetId="285" r:id="rId4"/>
  </sheets>
  <functionGroups builtInGroupCount="18"/>
  <definedNames>
    <definedName name="toc">INDEX(GET.WORKBOOK(1),ROW(#REF!))&amp;T(NOW())</definedName>
  </definedNames>
  <calcPr calcId="171027"/>
</workbook>
</file>

<file path=xl/calcChain.xml><?xml version="1.0" encoding="utf-8"?>
<calcChain xmlns="http://schemas.openxmlformats.org/spreadsheetml/2006/main">
  <c r="I2" i="285" l="1"/>
  <c r="I1" i="285"/>
  <c r="D2" i="296" l="1"/>
  <c r="D3" i="296"/>
  <c r="D4" i="296"/>
  <c r="D5" i="296"/>
  <c r="D6" i="296"/>
  <c r="D7" i="296"/>
  <c r="D8" i="296"/>
  <c r="D9" i="296"/>
  <c r="D10" i="296"/>
  <c r="D11" i="296"/>
  <c r="D12" i="296"/>
  <c r="D13" i="296"/>
  <c r="D14" i="296"/>
  <c r="D15" i="296"/>
  <c r="D16" i="296"/>
  <c r="D1" i="296"/>
  <c r="C2" i="296"/>
  <c r="C3" i="296"/>
  <c r="C4" i="296"/>
  <c r="C5" i="296"/>
  <c r="C6" i="296"/>
  <c r="C7" i="296"/>
  <c r="C8" i="296"/>
  <c r="C9" i="296"/>
  <c r="C10" i="296"/>
  <c r="C11" i="296"/>
  <c r="C12" i="296"/>
  <c r="C13" i="296"/>
  <c r="C14" i="296"/>
  <c r="C15" i="296"/>
  <c r="C16" i="296"/>
  <c r="C1" i="296"/>
</calcChain>
</file>

<file path=xl/connections.xml><?xml version="1.0" encoding="utf-8"?>
<connections xmlns="http://schemas.openxmlformats.org/spreadsheetml/2006/main">
  <connection id="1" name="All together" type="6" refreshedVersion="0" background="1">
    <textPr prompt="0" sourceFile="C:\Users\luoluo\Dropbox\Postdoc Work\microarray\boons processing\0930\All together.txt">
      <textFields>
        <textField/>
      </textFields>
    </textPr>
  </connection>
  <connection id="2" name="False" type="6" refreshedVersion="0" background="1">
    <textPr prompt="0" sourceFile="False">
      <textFields>
        <textField/>
      </textFields>
    </textPr>
  </connection>
  <connection id="3" name="False1" type="6" refreshedVersion="0" background="1">
    <textPr prompt="0" sourceFile="False">
      <textFields>
        <textField/>
      </textFields>
    </textPr>
  </connection>
  <connection id="4" name="False2" type="6" refreshedVersion="0" background="1">
    <textPr prompt="0" sourceFile="False">
      <textFields>
        <textField/>
      </textFields>
    </textPr>
  </connection>
  <connection id="5" name="False3" type="6" refreshedVersion="0" background="1">
    <textPr prompt="0" sourceFile="False">
      <textFields>
        <textField/>
      </textFields>
    </textPr>
  </connection>
  <connection id="6" name="False4" type="6" refreshedVersion="0" background="1">
    <textPr prompt="0" sourceFile="False">
      <textFields>
        <textField/>
      </textFields>
    </textPr>
  </connection>
  <connection id="7" name="False5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<sst xmlns="http://schemas.openxmlformats.org/spreadsheetml/2006/main" count="115" uniqueCount="81">
  <si>
    <t>Number of Blocks</t>
  </si>
  <si>
    <t>Number of Rows</t>
  </si>
  <si>
    <t>Number of Columns</t>
  </si>
  <si>
    <t>Number of Replicates</t>
  </si>
  <si>
    <t>Column of Data in raw file</t>
  </si>
  <si>
    <t>OR</t>
  </si>
  <si>
    <t>STEP 1</t>
  </si>
  <si>
    <t>STEP 3</t>
  </si>
  <si>
    <t>STEP 2</t>
  </si>
  <si>
    <t>X</t>
  </si>
  <si>
    <t xml:space="preserve"> Data Header</t>
  </si>
  <si>
    <t>as in scanner</t>
  </si>
  <si>
    <t>x</t>
  </si>
  <si>
    <t>This macro will import the raw field file from printer, .fld file , and coverted it to the position table.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</si>
  <si>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</si>
  <si>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</si>
  <si>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</si>
  <si>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</si>
  <si>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</si>
  <si>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</si>
  <si>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</si>
  <si>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</si>
  <si>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</si>
  <si>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</si>
  <si>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rowmax</t>
  </si>
  <si>
    <t>colmax</t>
  </si>
  <si>
    <t>Cleanup(Y/N):</t>
  </si>
  <si>
    <t>(needed by Color Sample and Sample Info)</t>
  </si>
  <si>
    <t>Filled in automatically by Import Field File</t>
  </si>
  <si>
    <t># of replicates:</t>
  </si>
  <si>
    <t xml:space="preserve">Read position_spotter to make sure each </t>
  </si>
  <si>
    <t xml:space="preserve">sample in the table has the same number </t>
  </si>
  <si>
    <t xml:space="preserve">of replicates. </t>
  </si>
  <si>
    <t>Y</t>
  </si>
  <si>
    <t>AAL</t>
  </si>
  <si>
    <t>ECL</t>
  </si>
  <si>
    <t>SNA</t>
  </si>
  <si>
    <t>Substrate</t>
  </si>
  <si>
    <t>Conc</t>
  </si>
  <si>
    <t>use block list? (Y/N)</t>
  </si>
  <si>
    <t>Block #</t>
  </si>
  <si>
    <t>(cannot use "/". )</t>
  </si>
  <si>
    <t>(cannot exceed 31 char for chart title)</t>
  </si>
  <si>
    <t>Barcode:</t>
  </si>
  <si>
    <t>date:</t>
  </si>
  <si>
    <t>Print date:</t>
  </si>
  <si>
    <t>WGA</t>
  </si>
  <si>
    <t>UEA</t>
  </si>
  <si>
    <t>Ricin</t>
  </si>
  <si>
    <t>MAL-II</t>
  </si>
  <si>
    <t>MAL-I</t>
  </si>
  <si>
    <t xml:space="preserve">use macro ConvertToScannerTable to conver the "position file" to a table that scanner uses. </t>
  </si>
  <si>
    <t>Fucosidase</t>
  </si>
  <si>
    <t>worksheet "probe list" for the well-compound list.</t>
  </si>
  <si>
    <r>
      <rPr>
        <b/>
        <sz val="11"/>
        <color theme="1"/>
        <rFont val="Calibri"/>
        <family val="2"/>
        <scheme val="minor"/>
      </rPr>
      <t>Ctrl+h</t>
    </r>
    <r>
      <rPr>
        <sz val="11"/>
        <color theme="1"/>
        <rFont val="Calibri"/>
        <family val="2"/>
        <scheme val="minor"/>
      </rPr>
      <t xml:space="preserve"> to go to block list</t>
    </r>
  </si>
  <si>
    <t>Block X</t>
  </si>
  <si>
    <t>Block Y</t>
  </si>
  <si>
    <t>(manual enter #)</t>
  </si>
  <si>
    <t>the result in the sheet "position_spotter". Need worksheet "probe list" for the well-compound list.</t>
  </si>
  <si>
    <t>in spotter: (don't change manually)</t>
  </si>
  <si>
    <r>
      <rPr>
        <b/>
        <sz val="11"/>
        <color theme="1"/>
        <rFont val="Calibri"/>
        <family val="2"/>
        <scheme val="minor"/>
      </rPr>
      <t>Ctrl+y</t>
    </r>
    <r>
      <rPr>
        <sz val="11"/>
        <color theme="1"/>
        <rFont val="Calibri"/>
        <family val="2"/>
        <scheme val="minor"/>
      </rPr>
      <t xml:space="preserve"> to go back to Parameter</t>
    </r>
  </si>
  <si>
    <t xml:space="preserve"> </t>
  </si>
  <si>
    <t>Note</t>
  </si>
  <si>
    <t>(from Block list)</t>
  </si>
  <si>
    <t>A11</t>
  </si>
  <si>
    <t>A12</t>
  </si>
  <si>
    <t>A13</t>
  </si>
  <si>
    <t>A14</t>
  </si>
  <si>
    <t>A15</t>
  </si>
  <si>
    <t>A16</t>
  </si>
  <si>
    <t>make color_scanner from position_spotter</t>
  </si>
  <si>
    <t>v03162016</t>
  </si>
  <si>
    <t>R</t>
  </si>
  <si>
    <t>AL</t>
  </si>
  <si>
    <t>N</t>
  </si>
  <si>
    <t>manually remove blank? (Y/N)</t>
  </si>
  <si>
    <t>(do not use)</t>
  </si>
  <si>
    <t>Background-Median</t>
  </si>
  <si>
    <t>Aera of Signal</t>
  </si>
  <si>
    <t>Date</t>
  </si>
  <si>
    <t>Barcode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</si>
</sst>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2"/>
      <color theme="1"/>
      <name val="宋体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63377788628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" fillId="0" borderId="0"/>
  </cellStyleXfs>
  <cellXfs count="46">
    <xf numFmtId="0" fontId="0" fillId="0" borderId="0" xfId="0"/>
    <xf numFmtId="0" fontId="17" fillId="0" borderId="0" xfId="0" applyFont="1"/>
    <xf numFmtId="0" fontId="0" fillId="33" borderId="0" xfId="0" applyFill="1"/>
    <xf numFmtId="0" fontId="0" fillId="33" borderId="0" xfId="0" applyFill="1" applyAlignment="1">
      <alignment horizontal="center"/>
    </xf>
    <xf numFmtId="0" fontId="0" fillId="34" borderId="0" xfId="0" applyFill="1"/>
    <xf numFmtId="0" fontId="19" fillId="34" borderId="0" xfId="0" applyFont="1" applyFill="1"/>
    <xf numFmtId="0" fontId="19" fillId="33" borderId="0" xfId="0" applyFont="1" applyFill="1"/>
    <xf numFmtId="0" fontId="0" fillId="0" borderId="0" xfId="0" applyFill="1"/>
    <xf numFmtId="0" fontId="19" fillId="35" borderId="0" xfId="0" applyFont="1" applyFill="1"/>
    <xf numFmtId="0" fontId="0" fillId="35" borderId="0" xfId="0" applyFill="1"/>
    <xf numFmtId="0" fontId="17" fillId="35" borderId="0" xfId="0" applyFont="1" applyFill="1"/>
    <xf numFmtId="0" fontId="0" fillId="36" borderId="0" xfId="0" applyFill="1"/>
    <xf numFmtId="0" fontId="0" fillId="37" borderId="0" xfId="0" applyFill="1"/>
    <xf numFmtId="0" fontId="17" fillId="35" borderId="0" xfId="0" applyFont="1" applyFill="1" applyAlignment="1">
      <alignment horizontal="left"/>
    </xf>
    <xf numFmtId="0" fontId="0" fillId="35" borderId="0" xfId="0" applyFill="1" applyAlignment="1">
      <alignment horizontal="left"/>
    </xf>
    <xf numFmtId="0" fontId="0" fillId="38" borderId="0" xfId="0" applyFill="1"/>
    <xf numFmtId="0" fontId="0" fillId="0" borderId="0" xfId="0" applyAlignment="1">
      <alignment horizontal="center" vertical="center"/>
    </xf>
    <xf numFmtId="0" fontId="0" fillId="0" borderId="0" xfId="0" applyFont="1"/>
    <xf numFmtId="0" fontId="17" fillId="0" borderId="0" xfId="0" applyFont="1" applyAlignment="1">
      <alignment horizontal="right"/>
    </xf>
    <xf numFmtId="0" fontId="22" fillId="0" borderId="0" xfId="0" applyFont="1" applyFill="1"/>
    <xf numFmtId="0" fontId="23" fillId="0" borderId="0" xfId="0" applyFont="1"/>
    <xf numFmtId="0" fontId="0" fillId="40" borderId="0" xfId="0" applyFill="1"/>
    <xf numFmtId="0" fontId="22" fillId="40" borderId="0" xfId="0" applyFont="1" applyFill="1"/>
    <xf numFmtId="0" fontId="0" fillId="41" borderId="10" xfId="0" applyFill="1" applyBorder="1"/>
    <xf numFmtId="0" fontId="17" fillId="0" borderId="0" xfId="0" applyFont="1" applyFill="1"/>
    <xf numFmtId="14" fontId="0" fillId="42" borderId="10" xfId="0" applyNumberFormat="1" applyFill="1" applyBorder="1"/>
    <xf numFmtId="0" fontId="0" fillId="42" borderId="10" xfId="0" applyFill="1" applyBorder="1"/>
    <xf numFmtId="0" fontId="0" fillId="39" borderId="10" xfId="0" applyFill="1" applyBorder="1"/>
    <xf numFmtId="14" fontId="17" fillId="43" borderId="0" xfId="0" applyNumberFormat="1" applyFont="1" applyFill="1"/>
    <xf numFmtId="0" fontId="17" fillId="35" borderId="11" xfId="0" applyFont="1" applyFill="1" applyBorder="1"/>
    <xf numFmtId="0" fontId="17" fillId="35" borderId="12" xfId="0" applyFont="1" applyFill="1" applyBorder="1"/>
    <xf numFmtId="0" fontId="17" fillId="35" borderId="13" xfId="0" applyFont="1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7" fillId="35" borderId="14" xfId="0" applyFont="1" applyFill="1" applyBorder="1"/>
    <xf numFmtId="0" fontId="17" fillId="35" borderId="0" xfId="0" applyFont="1" applyFill="1" applyBorder="1"/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44" borderId="0" xfId="0" applyFill="1"/>
    <xf numFmtId="0" fontId="0" fillId="41" borderId="19" xfId="0" applyFill="1" applyBorder="1" applyAlignment="1">
      <alignment horizontal="right"/>
    </xf>
    <xf numFmtId="0" fontId="0" fillId="35" borderId="10" xfId="0" applyFill="1" applyBorder="1" applyAlignment="1">
      <alignment horizontal="right"/>
    </xf>
    <xf numFmtId="0" fontId="17" fillId="35" borderId="0" xfId="0" applyFont="1" applyFill="1" applyAlignment="1">
      <alignment horizontal="right"/>
    </xf>
    <xf numFmtId="0" fontId="0" fillId="43" borderId="0" xfId="0" applyFill="1"/>
    <xf numFmtId="14" fontId="0" fillId="43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28575</xdr:rowOff>
        </xdr:from>
        <xdr:to>
          <xdr:col>2</xdr:col>
          <xdr:colOff>1190625</xdr:colOff>
          <xdr:row>10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Field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16</xdr:row>
          <xdr:rowOff>133350</xdr:rowOff>
        </xdr:from>
        <xdr:to>
          <xdr:col>2</xdr:col>
          <xdr:colOff>533400</xdr:colOff>
          <xdr:row>18</xdr:row>
          <xdr:rowOff>133350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Sample Info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16</xdr:row>
          <xdr:rowOff>133350</xdr:rowOff>
        </xdr:from>
        <xdr:to>
          <xdr:col>2</xdr:col>
          <xdr:colOff>1666875</xdr:colOff>
          <xdr:row>18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8</xdr:row>
          <xdr:rowOff>142875</xdr:rowOff>
        </xdr:from>
        <xdr:to>
          <xdr:col>4</xdr:col>
          <xdr:colOff>495300</xdr:colOff>
          <xdr:row>10</xdr:row>
          <xdr:rowOff>161925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 Sample Table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142875</xdr:rowOff>
        </xdr:from>
        <xdr:to>
          <xdr:col>6</xdr:col>
          <xdr:colOff>409575</xdr:colOff>
          <xdr:row>10</xdr:row>
          <xdr:rowOff>142875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19050</xdr:rowOff>
        </xdr:from>
        <xdr:to>
          <xdr:col>2</xdr:col>
          <xdr:colOff>657225</xdr:colOff>
          <xdr:row>3</xdr:row>
          <xdr:rowOff>85725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Check Probe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28575</xdr:rowOff>
        </xdr:from>
        <xdr:to>
          <xdr:col>14</xdr:col>
          <xdr:colOff>514350</xdr:colOff>
          <xdr:row>8</xdr:row>
          <xdr:rowOff>104775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Transfer value to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17</xdr:row>
          <xdr:rowOff>85725</xdr:rowOff>
        </xdr:from>
        <xdr:to>
          <xdr:col>4</xdr:col>
          <xdr:colOff>409575</xdr:colOff>
          <xdr:row>19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Process All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104775</xdr:rowOff>
        </xdr:from>
        <xdr:to>
          <xdr:col>8</xdr:col>
          <xdr:colOff>85725</xdr:colOff>
          <xdr:row>19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1. Process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19050</xdr:rowOff>
        </xdr:from>
        <xdr:to>
          <xdr:col>8</xdr:col>
          <xdr:colOff>95250</xdr:colOff>
          <xdr:row>23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2. Separate the data and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76200</xdr:rowOff>
        </xdr:from>
        <xdr:to>
          <xdr:col>3</xdr:col>
          <xdr:colOff>66675</xdr:colOff>
          <xdr:row>3</xdr:row>
          <xdr:rowOff>66675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20</xdr:row>
          <xdr:rowOff>85725</xdr:rowOff>
        </xdr:from>
        <xdr:to>
          <xdr:col>4</xdr:col>
          <xdr:colOff>95250</xdr:colOff>
          <xdr:row>22</xdr:row>
          <xdr:rowOff>142875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all processed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</xdr:row>
          <xdr:rowOff>76200</xdr:rowOff>
        </xdr:from>
        <xdr:to>
          <xdr:col>4</xdr:col>
          <xdr:colOff>1181100</xdr:colOff>
          <xdr:row>3</xdr:row>
          <xdr:rowOff>66675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21</xdr:row>
          <xdr:rowOff>9525</xdr:rowOff>
        </xdr:from>
        <xdr:to>
          <xdr:col>8</xdr:col>
          <xdr:colOff>1352550</xdr:colOff>
          <xdr:row>23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 separated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7</xdr:row>
          <xdr:rowOff>171450</xdr:rowOff>
        </xdr:from>
        <xdr:to>
          <xdr:col>6</xdr:col>
          <xdr:colOff>571500</xdr:colOff>
          <xdr:row>10</xdr:row>
          <xdr:rowOff>57150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value from Convert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30</xdr:row>
          <xdr:rowOff>66675</xdr:rowOff>
        </xdr:from>
        <xdr:to>
          <xdr:col>2</xdr:col>
          <xdr:colOff>1581150</xdr:colOff>
          <xdr:row>32</xdr:row>
          <xdr:rowOff>19050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Make a full list of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30</xdr:row>
          <xdr:rowOff>66675</xdr:rowOff>
        </xdr:from>
        <xdr:to>
          <xdr:col>4</xdr:col>
          <xdr:colOff>981075</xdr:colOff>
          <xdr:row>32</xdr:row>
          <xdr:rowOff>95250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Color_Scanner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F16"/>
  <sheetViews>
    <sheetView workbookViewId="0">
      <selection activeCell="H10" sqref="H10"/>
    </sheetView>
  </sheetViews>
  <sheetFormatPr defaultRowHeight="15" x14ac:dyDescent="0.25"/>
  <cols>
    <col min="1" max="2" width="9.140625" style="16"/>
  </cols>
  <sheetData>
    <row r="1" spans="1:6" x14ac:dyDescent="0.25">
      <c r="A1" s="16" t="s">
        <v>14</v>
      </c>
      <c r="B1" s="16" t="s">
        <v>14</v>
      </c>
      <c r="C1" t="b">
        <f>COUNTIF($A:$A, A1)&gt;1</f>
        <v>0</v>
      </c>
      <c r="D1" t="b">
        <f>COUNTIF($B:$B, B1)&gt;1</f>
        <v>0</v>
      </c>
      <c r="F1" s="16"/>
    </row>
    <row r="2" spans="1:6" x14ac:dyDescent="0.25">
      <c r="A2" s="16" t="s">
        <v>15</v>
      </c>
      <c r="B2" s="16" t="s">
        <v>15</v>
      </c>
      <c r="C2" t="b">
        <f t="shared" ref="C2:C16" si="0">COUNTIF($A:$A, A2)&gt;1</f>
        <v>0</v>
      </c>
      <c r="D2" t="b">
        <f t="shared" ref="D2:D16" si="1">COUNTIF($B:$B, B2)&gt;1</f>
        <v>0</v>
      </c>
    </row>
    <row r="3" spans="1:6" x14ac:dyDescent="0.25">
      <c r="A3" s="16" t="s">
        <v>16</v>
      </c>
      <c r="B3" s="16" t="s">
        <v>16</v>
      </c>
      <c r="C3" t="b">
        <f t="shared" si="0"/>
        <v>0</v>
      </c>
      <c r="D3" t="b">
        <f t="shared" si="1"/>
        <v>0</v>
      </c>
    </row>
    <row r="4" spans="1:6" x14ac:dyDescent="0.25">
      <c r="A4" s="16" t="s">
        <v>17</v>
      </c>
      <c r="B4" s="16" t="s">
        <v>17</v>
      </c>
      <c r="C4" t="b">
        <f t="shared" si="0"/>
        <v>0</v>
      </c>
      <c r="D4" t="b">
        <f t="shared" si="1"/>
        <v>0</v>
      </c>
    </row>
    <row r="5" spans="1:6" x14ac:dyDescent="0.25">
      <c r="A5" s="16" t="s">
        <v>18</v>
      </c>
      <c r="B5" s="16" t="s">
        <v>18</v>
      </c>
      <c r="C5" t="b">
        <f t="shared" si="0"/>
        <v>0</v>
      </c>
      <c r="D5" t="b">
        <f t="shared" si="1"/>
        <v>0</v>
      </c>
    </row>
    <row r="6" spans="1:6" x14ac:dyDescent="0.25">
      <c r="A6" s="16" t="s">
        <v>19</v>
      </c>
      <c r="B6" s="16" t="s">
        <v>19</v>
      </c>
      <c r="C6" t="b">
        <f t="shared" si="0"/>
        <v>0</v>
      </c>
      <c r="D6" t="b">
        <f t="shared" si="1"/>
        <v>0</v>
      </c>
    </row>
    <row r="7" spans="1:6" x14ac:dyDescent="0.25">
      <c r="A7" s="16" t="s">
        <v>20</v>
      </c>
      <c r="B7" s="16" t="s">
        <v>20</v>
      </c>
      <c r="C7" t="b">
        <f t="shared" si="0"/>
        <v>0</v>
      </c>
      <c r="D7" t="b">
        <f t="shared" si="1"/>
        <v>0</v>
      </c>
    </row>
    <row r="8" spans="1:6" x14ac:dyDescent="0.25">
      <c r="A8" s="16" t="s">
        <v>21</v>
      </c>
      <c r="B8" s="16" t="s">
        <v>21</v>
      </c>
      <c r="C8" t="b">
        <f t="shared" si="0"/>
        <v>0</v>
      </c>
      <c r="D8" t="b">
        <f t="shared" si="1"/>
        <v>0</v>
      </c>
    </row>
    <row r="9" spans="1:6" x14ac:dyDescent="0.25">
      <c r="A9" s="16" t="s">
        <v>22</v>
      </c>
      <c r="B9" s="16" t="s">
        <v>22</v>
      </c>
      <c r="C9" t="b">
        <f t="shared" si="0"/>
        <v>0</v>
      </c>
      <c r="D9" t="b">
        <f t="shared" si="1"/>
        <v>0</v>
      </c>
    </row>
    <row r="10" spans="1:6" x14ac:dyDescent="0.25">
      <c r="A10" s="16" t="s">
        <v>23</v>
      </c>
      <c r="B10" s="16" t="s">
        <v>23</v>
      </c>
      <c r="C10" t="b">
        <f t="shared" si="0"/>
        <v>0</v>
      </c>
      <c r="D10" t="b">
        <f t="shared" si="1"/>
        <v>0</v>
      </c>
    </row>
    <row r="11" spans="1:6" x14ac:dyDescent="0.25">
      <c r="A11" s="16" t="s">
        <v>64</v>
      </c>
      <c r="B11" s="16" t="s">
        <v>64</v>
      </c>
      <c r="C11" t="b">
        <f t="shared" si="0"/>
        <v>0</v>
      </c>
      <c r="D11" t="b">
        <f t="shared" si="1"/>
        <v>0</v>
      </c>
    </row>
    <row r="12" spans="1:6" x14ac:dyDescent="0.25">
      <c r="A12" s="16" t="s">
        <v>65</v>
      </c>
      <c r="B12" s="16" t="s">
        <v>65</v>
      </c>
      <c r="C12" t="b">
        <f t="shared" si="0"/>
        <v>0</v>
      </c>
      <c r="D12" t="b">
        <f t="shared" si="1"/>
        <v>0</v>
      </c>
    </row>
    <row r="13" spans="1:6" x14ac:dyDescent="0.25">
      <c r="A13" s="16" t="s">
        <v>66</v>
      </c>
      <c r="B13" s="16" t="s">
        <v>66</v>
      </c>
      <c r="C13" t="b">
        <f t="shared" si="0"/>
        <v>0</v>
      </c>
      <c r="D13" t="b">
        <f t="shared" si="1"/>
        <v>0</v>
      </c>
    </row>
    <row r="14" spans="1:6" x14ac:dyDescent="0.25">
      <c r="A14" s="16" t="s">
        <v>67</v>
      </c>
      <c r="B14" s="16" t="s">
        <v>67</v>
      </c>
      <c r="C14" t="b">
        <f t="shared" si="0"/>
        <v>0</v>
      </c>
      <c r="D14" t="b">
        <f t="shared" si="1"/>
        <v>0</v>
      </c>
    </row>
    <row r="15" spans="1:6" x14ac:dyDescent="0.25">
      <c r="A15" s="16" t="s">
        <v>68</v>
      </c>
      <c r="B15" s="16" t="s">
        <v>68</v>
      </c>
      <c r="C15" t="b">
        <f t="shared" si="0"/>
        <v>0</v>
      </c>
      <c r="D15" t="b">
        <f t="shared" si="1"/>
        <v>0</v>
      </c>
    </row>
    <row r="16" spans="1:6" x14ac:dyDescent="0.25">
      <c r="A16" s="16" t="s">
        <v>69</v>
      </c>
      <c r="B16" s="16" t="s">
        <v>69</v>
      </c>
      <c r="C16" t="b">
        <f t="shared" si="0"/>
        <v>0</v>
      </c>
      <c r="D16" t="b">
        <f t="shared" si="1"/>
        <v>0</v>
      </c>
    </row>
  </sheetData>
  <pageMargins left="0.7" right="0.7" top="0.75" bottom="0.75" header="0.3" footer="0.3"/>
  <pageSetup scale="75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22"/>
  <sheetViews>
    <sheetView workbookViewId="0">
      <selection activeCell="F15" sqref="F15"/>
    </sheetView>
  </sheetViews>
  <sheetFormatPr defaultRowHeight="15" x14ac:dyDescent="0.25"/>
  <cols>
    <col min="2" max="2" width="13.28515625" customWidth="1"/>
    <col min="3" max="3" width="24.42578125" customWidth="1"/>
    <col min="4" max="4" width="14.7109375" customWidth="1"/>
    <col min="10" max="10" width="9.140625" customWidth="1"/>
  </cols>
  <sheetData>
    <row r="1" spans="1:12" x14ac:dyDescent="0.25">
      <c r="A1">
        <v>12042015</v>
      </c>
    </row>
    <row r="2" spans="1:12" x14ac:dyDescent="0.25">
      <c r="D2" t="s">
        <v>53</v>
      </c>
    </row>
    <row r="5" spans="1:12" x14ac:dyDescent="0.25">
      <c r="B5" s="1" t="s">
        <v>45</v>
      </c>
      <c r="C5" s="28">
        <v>42397</v>
      </c>
    </row>
    <row r="6" spans="1:12" x14ac:dyDescent="0.25">
      <c r="J6" s="1" t="s">
        <v>59</v>
      </c>
    </row>
    <row r="7" spans="1:12" x14ac:dyDescent="0.25">
      <c r="B7" s="15" t="s">
        <v>13</v>
      </c>
      <c r="C7" s="15"/>
      <c r="D7" s="15"/>
      <c r="E7" s="15"/>
      <c r="F7" s="15"/>
      <c r="G7" s="15"/>
      <c r="H7" s="15"/>
      <c r="I7" s="7"/>
      <c r="J7" s="29" t="s">
        <v>55</v>
      </c>
      <c r="K7" s="30" t="s">
        <v>56</v>
      </c>
      <c r="L7" s="31" t="s">
        <v>40</v>
      </c>
    </row>
    <row r="8" spans="1:12" x14ac:dyDescent="0.25">
      <c r="B8" s="15" t="s">
        <v>58</v>
      </c>
      <c r="C8" s="15"/>
      <c r="D8" s="15"/>
      <c r="E8" s="15"/>
      <c r="F8" s="15"/>
      <c r="G8" s="15"/>
      <c r="H8" s="15"/>
      <c r="I8" s="7"/>
      <c r="J8" s="32">
        <v>8</v>
      </c>
      <c r="K8" s="33">
        <v>2</v>
      </c>
      <c r="L8" s="34">
        <v>16</v>
      </c>
    </row>
    <row r="9" spans="1:12" x14ac:dyDescent="0.25">
      <c r="D9" s="7"/>
      <c r="E9" s="7"/>
      <c r="J9" s="35" t="s">
        <v>24</v>
      </c>
      <c r="K9" s="36" t="s">
        <v>25</v>
      </c>
      <c r="L9" s="34"/>
    </row>
    <row r="10" spans="1:12" x14ac:dyDescent="0.25">
      <c r="D10" s="7"/>
      <c r="E10" s="7"/>
      <c r="J10" s="37">
        <v>20</v>
      </c>
      <c r="K10" s="38">
        <v>20</v>
      </c>
      <c r="L10" s="39"/>
    </row>
    <row r="11" spans="1:12" x14ac:dyDescent="0.25">
      <c r="D11" s="7"/>
      <c r="E11" s="7"/>
      <c r="J11" t="s">
        <v>27</v>
      </c>
    </row>
    <row r="12" spans="1:12" x14ac:dyDescent="0.25">
      <c r="B12" s="7" t="s">
        <v>26</v>
      </c>
      <c r="C12" s="23" t="s">
        <v>33</v>
      </c>
      <c r="J12" t="s">
        <v>28</v>
      </c>
    </row>
    <row r="13" spans="1:12" x14ac:dyDescent="0.25">
      <c r="B13" s="7"/>
      <c r="C13" s="7"/>
    </row>
    <row r="14" spans="1:12" x14ac:dyDescent="0.25">
      <c r="B14" s="11" t="s">
        <v>30</v>
      </c>
      <c r="C14" s="11"/>
      <c r="D14" s="24" t="s">
        <v>29</v>
      </c>
      <c r="E14" s="17"/>
    </row>
    <row r="15" spans="1:12" x14ac:dyDescent="0.25">
      <c r="B15" s="11" t="s">
        <v>31</v>
      </c>
      <c r="C15" s="11"/>
      <c r="D15" s="27">
        <v>6</v>
      </c>
      <c r="E15" s="7"/>
    </row>
    <row r="16" spans="1:12" x14ac:dyDescent="0.25">
      <c r="B16" s="11" t="s">
        <v>32</v>
      </c>
      <c r="C16" s="11"/>
      <c r="D16" s="7" t="s">
        <v>57</v>
      </c>
      <c r="E16" s="7"/>
    </row>
    <row r="17" spans="2:3" x14ac:dyDescent="0.25">
      <c r="B17" s="11"/>
      <c r="C17" s="11"/>
    </row>
    <row r="18" spans="2:3" x14ac:dyDescent="0.25">
      <c r="B18" s="11"/>
      <c r="C18" s="11"/>
    </row>
    <row r="19" spans="2:3" x14ac:dyDescent="0.25">
      <c r="B19" s="11"/>
      <c r="C19" s="11"/>
    </row>
    <row r="22" spans="2:3" x14ac:dyDescent="0.25">
      <c r="B22" t="s">
        <v>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Whole_Convert_Field_to_Table">
                <anchor moveWithCells="1" sizeWithCells="1">
                  <from>
                    <xdr:col>1</xdr:col>
                    <xdr:colOff>0</xdr:colOff>
                    <xdr:row>8</xdr:row>
                    <xdr:rowOff>28575</xdr:rowOff>
                  </from>
                  <to>
                    <xdr:col>2</xdr:col>
                    <xdr:colOff>1190625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5" name="Button 7">
              <controlPr defaultSize="0" print="0" autoFill="0" autoPict="0" macro="[0]!Sample_Info">
                <anchor moveWithCells="1" sizeWithCells="1">
                  <from>
                    <xdr:col>1</xdr:col>
                    <xdr:colOff>171450</xdr:colOff>
                    <xdr:row>16</xdr:row>
                    <xdr:rowOff>133350</xdr:rowOff>
                  </from>
                  <to>
                    <xdr:col>2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deletesampleinfo">
                <anchor moveWithCells="1" sizeWithCells="1">
                  <from>
                    <xdr:col>2</xdr:col>
                    <xdr:colOff>695325</xdr:colOff>
                    <xdr:row>16</xdr:row>
                    <xdr:rowOff>133350</xdr:rowOff>
                  </from>
                  <to>
                    <xdr:col>2</xdr:col>
                    <xdr:colOff>1666875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" name="Button 9">
              <controlPr defaultSize="0" print="0" autoFill="0" autoPict="0" macro="[0]!Color_Sample_Table">
                <anchor moveWithCells="1" sizeWithCells="1">
                  <from>
                    <xdr:col>3</xdr:col>
                    <xdr:colOff>133350</xdr:colOff>
                    <xdr:row>8</xdr:row>
                    <xdr:rowOff>142875</xdr:rowOff>
                  </from>
                  <to>
                    <xdr:col>4</xdr:col>
                    <xdr:colOff>495300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8" name="Button 10">
              <controlPr defaultSize="0" print="0" autoFill="0" autoPict="0" macro="[0]!deletecolortable">
                <anchor moveWithCells="1" sizeWithCells="1">
                  <from>
                    <xdr:col>5</xdr:col>
                    <xdr:colOff>47625</xdr:colOff>
                    <xdr:row>8</xdr:row>
                    <xdr:rowOff>142875</xdr:rowOff>
                  </from>
                  <to>
                    <xdr:col>6</xdr:col>
                    <xdr:colOff>409575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9" name="Button 11">
              <controlPr defaultSize="0" print="0" autoFill="0" autoPict="0" macro="[0]!CheckList">
                <anchor moveWithCells="1" sizeWithCells="1">
                  <from>
                    <xdr:col>1</xdr:col>
                    <xdr:colOff>0</xdr:colOff>
                    <xdr:row>1</xdr:row>
                    <xdr:rowOff>19050</xdr:rowOff>
                  </from>
                  <to>
                    <xdr:col>2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0" name="Button 12">
              <controlPr defaultSize="0" print="0" autoFill="0" autoPict="0" macro="[0]!transfer_row_column">
                <anchor moveWithCells="1" sizeWithCells="1">
                  <from>
                    <xdr:col>13</xdr:col>
                    <xdr:colOff>0</xdr:colOff>
                    <xdr:row>6</xdr:row>
                    <xdr:rowOff>28575</xdr:rowOff>
                  </from>
                  <to>
                    <xdr:col>14</xdr:col>
                    <xdr:colOff>514350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H17"/>
  <sheetViews>
    <sheetView tabSelected="1" workbookViewId="0">
      <selection activeCell="D21" sqref="D21"/>
    </sheetView>
  </sheetViews>
  <sheetFormatPr defaultRowHeight="15" x14ac:dyDescent="0.25"/>
  <cols>
    <col min="1" max="1" width="7.140625" bestFit="1" customWidth="1"/>
    <col min="2" max="2" width="9.42578125" bestFit="1" customWidth="1"/>
    <col min="3" max="3" width="5.28515625" customWidth="1"/>
    <col min="4" max="4" width="14.5703125" customWidth="1"/>
    <col min="5" max="5" width="14.5703125" bestFit="1" customWidth="1"/>
    <col min="6" max="6" width="9.7109375" bestFit="1" customWidth="1"/>
    <col min="7" max="7" width="15.28515625" customWidth="1"/>
    <col min="8" max="8" width="11.7109375" customWidth="1"/>
  </cols>
  <sheetData>
    <row r="1" spans="1:8" x14ac:dyDescent="0.25">
      <c r="A1" s="1" t="s">
        <v>40</v>
      </c>
      <c r="B1" s="1" t="s">
        <v>37</v>
      </c>
      <c r="C1" s="18" t="s">
        <v>38</v>
      </c>
      <c r="D1" s="1" t="s">
        <v>62</v>
      </c>
      <c r="G1" s="44" t="s">
        <v>79</v>
      </c>
      <c r="H1" s="45"/>
    </row>
    <row r="2" spans="1:8" x14ac:dyDescent="0.25">
      <c r="A2" s="1">
        <v>1</v>
      </c>
      <c r="B2" s="40" t="s">
        <v>46</v>
      </c>
      <c r="C2" s="40">
        <v>10</v>
      </c>
      <c r="D2" s="40"/>
      <c r="G2" s="44" t="s">
        <v>80</v>
      </c>
      <c r="H2" s="44"/>
    </row>
    <row r="3" spans="1:8" x14ac:dyDescent="0.25">
      <c r="A3" s="1">
        <v>2</v>
      </c>
      <c r="B3" s="40" t="s">
        <v>46</v>
      </c>
      <c r="C3" s="40">
        <v>10</v>
      </c>
      <c r="D3" s="40" t="s">
        <v>52</v>
      </c>
    </row>
    <row r="4" spans="1:8" x14ac:dyDescent="0.25">
      <c r="A4" s="1">
        <v>3</v>
      </c>
      <c r="B4" s="40" t="s">
        <v>47</v>
      </c>
      <c r="C4" s="40">
        <v>10</v>
      </c>
      <c r="D4" s="40"/>
    </row>
    <row r="5" spans="1:8" x14ac:dyDescent="0.25">
      <c r="A5" s="1">
        <v>4</v>
      </c>
      <c r="B5" s="40" t="s">
        <v>47</v>
      </c>
      <c r="C5" s="40">
        <v>10</v>
      </c>
      <c r="D5" s="40" t="s">
        <v>52</v>
      </c>
    </row>
    <row r="6" spans="1:8" x14ac:dyDescent="0.25">
      <c r="A6" s="1">
        <v>5</v>
      </c>
      <c r="B6" s="40" t="s">
        <v>48</v>
      </c>
      <c r="C6" s="40">
        <v>10</v>
      </c>
      <c r="D6" s="40"/>
    </row>
    <row r="7" spans="1:8" x14ac:dyDescent="0.25">
      <c r="A7" s="1">
        <v>6</v>
      </c>
      <c r="B7" s="40" t="s">
        <v>48</v>
      </c>
      <c r="C7" s="40">
        <v>10</v>
      </c>
      <c r="D7" s="40" t="s">
        <v>52</v>
      </c>
    </row>
    <row r="8" spans="1:8" x14ac:dyDescent="0.25">
      <c r="A8" s="1">
        <v>7</v>
      </c>
      <c r="B8" s="40" t="s">
        <v>49</v>
      </c>
      <c r="C8" s="40">
        <v>10</v>
      </c>
      <c r="D8" s="40"/>
    </row>
    <row r="9" spans="1:8" x14ac:dyDescent="0.25">
      <c r="A9" s="1">
        <v>8</v>
      </c>
      <c r="B9" s="40" t="s">
        <v>49</v>
      </c>
      <c r="C9" s="40">
        <v>10</v>
      </c>
      <c r="D9" s="40" t="s">
        <v>52</v>
      </c>
    </row>
    <row r="10" spans="1:8" x14ac:dyDescent="0.25">
      <c r="A10" s="1">
        <v>9</v>
      </c>
      <c r="B10" s="40" t="s">
        <v>50</v>
      </c>
      <c r="C10" s="40">
        <v>10</v>
      </c>
      <c r="D10" s="40"/>
    </row>
    <row r="11" spans="1:8" x14ac:dyDescent="0.25">
      <c r="A11" s="1">
        <v>10</v>
      </c>
      <c r="B11" s="40" t="s">
        <v>50</v>
      </c>
      <c r="C11" s="40">
        <v>10</v>
      </c>
      <c r="D11" s="40" t="s">
        <v>52</v>
      </c>
    </row>
    <row r="12" spans="1:8" x14ac:dyDescent="0.25">
      <c r="A12" s="1">
        <v>11</v>
      </c>
      <c r="B12" s="40" t="s">
        <v>35</v>
      </c>
      <c r="C12" s="40">
        <v>10</v>
      </c>
      <c r="D12" s="40"/>
    </row>
    <row r="13" spans="1:8" x14ac:dyDescent="0.25">
      <c r="A13" s="1">
        <v>12</v>
      </c>
      <c r="B13" s="40" t="s">
        <v>35</v>
      </c>
      <c r="C13" s="40">
        <v>10</v>
      </c>
      <c r="D13" s="40" t="s">
        <v>52</v>
      </c>
    </row>
    <row r="14" spans="1:8" x14ac:dyDescent="0.25">
      <c r="A14" s="1">
        <v>13</v>
      </c>
      <c r="B14" s="40" t="s">
        <v>36</v>
      </c>
      <c r="C14" s="40">
        <v>10</v>
      </c>
      <c r="D14" s="40"/>
    </row>
    <row r="15" spans="1:8" x14ac:dyDescent="0.25">
      <c r="A15" s="1">
        <v>14</v>
      </c>
      <c r="B15" s="40" t="s">
        <v>36</v>
      </c>
      <c r="C15" s="40">
        <v>10</v>
      </c>
      <c r="D15" s="40" t="s">
        <v>52</v>
      </c>
    </row>
    <row r="16" spans="1:8" x14ac:dyDescent="0.25">
      <c r="A16" s="1">
        <v>15</v>
      </c>
      <c r="B16" s="40" t="s">
        <v>34</v>
      </c>
      <c r="C16" s="40">
        <v>1</v>
      </c>
      <c r="D16" s="40"/>
    </row>
    <row r="17" spans="1:4" x14ac:dyDescent="0.25">
      <c r="A17" s="1">
        <v>16</v>
      </c>
      <c r="B17" s="40" t="s">
        <v>34</v>
      </c>
      <c r="C17" s="40">
        <v>1</v>
      </c>
      <c r="D17" s="40" t="s">
        <v>52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4"/>
  <sheetViews>
    <sheetView workbookViewId="0">
      <selection activeCell="L9" sqref="L9"/>
    </sheetView>
  </sheetViews>
  <sheetFormatPr defaultRowHeight="15" x14ac:dyDescent="0.25"/>
  <cols>
    <col min="3" max="3" width="24.85546875" customWidth="1"/>
    <col min="5" max="5" width="18.85546875" customWidth="1"/>
    <col min="8" max="8" width="10.140625" customWidth="1"/>
    <col min="9" max="9" width="20.7109375" customWidth="1"/>
    <col min="10" max="10" width="19.28515625" customWidth="1"/>
  </cols>
  <sheetData>
    <row r="1" spans="1:10" ht="15.75" x14ac:dyDescent="0.25">
      <c r="A1" t="s">
        <v>71</v>
      </c>
      <c r="C1" s="5" t="s">
        <v>6</v>
      </c>
      <c r="D1" s="4"/>
      <c r="E1" s="4"/>
      <c r="H1" s="24" t="s">
        <v>44</v>
      </c>
      <c r="I1" s="25" t="str">
        <f>IF('block list'!H1&lt;&gt;"",'block list'!H1, "" )</f>
        <v/>
      </c>
      <c r="J1" t="s">
        <v>63</v>
      </c>
    </row>
    <row r="2" spans="1:10" x14ac:dyDescent="0.25">
      <c r="C2" s="4"/>
      <c r="D2" s="4"/>
      <c r="E2" s="4"/>
      <c r="H2" s="24" t="s">
        <v>43</v>
      </c>
      <c r="I2" s="26" t="str">
        <f>IF('block list'!H2&lt;&gt;"",'block list'!H2, "" )</f>
        <v/>
      </c>
    </row>
    <row r="3" spans="1:10" x14ac:dyDescent="0.25">
      <c r="C3" s="4"/>
      <c r="D3" s="4"/>
      <c r="E3" s="4"/>
      <c r="H3" s="24"/>
      <c r="I3" s="7"/>
    </row>
    <row r="4" spans="1:10" x14ac:dyDescent="0.25">
      <c r="C4" s="4"/>
      <c r="D4" s="4"/>
      <c r="E4" s="4"/>
      <c r="H4" s="21" t="s">
        <v>54</v>
      </c>
      <c r="I4" s="22"/>
    </row>
    <row r="5" spans="1:10" x14ac:dyDescent="0.25">
      <c r="C5" s="4"/>
      <c r="D5" s="4"/>
      <c r="E5" s="4"/>
      <c r="H5" s="21" t="s">
        <v>60</v>
      </c>
      <c r="I5" s="21"/>
    </row>
    <row r="6" spans="1:10" s="7" customFormat="1" x14ac:dyDescent="0.25">
      <c r="A6" s="19"/>
    </row>
    <row r="7" spans="1:10" s="7" customFormat="1" ht="15.75" x14ac:dyDescent="0.25">
      <c r="C7" s="8" t="s">
        <v>8</v>
      </c>
      <c r="D7" s="9"/>
      <c r="E7" s="9"/>
    </row>
    <row r="8" spans="1:10" x14ac:dyDescent="0.25">
      <c r="A8" s="20"/>
      <c r="C8" s="10" t="s">
        <v>0</v>
      </c>
      <c r="D8" s="23">
        <v>2</v>
      </c>
      <c r="E8" s="9"/>
    </row>
    <row r="9" spans="1:10" x14ac:dyDescent="0.25">
      <c r="A9" s="20"/>
      <c r="C9" s="10" t="s">
        <v>1</v>
      </c>
      <c r="D9" s="23">
        <v>20</v>
      </c>
      <c r="E9" s="14" t="s">
        <v>11</v>
      </c>
      <c r="I9" s="24" t="s">
        <v>39</v>
      </c>
      <c r="J9" s="23" t="s">
        <v>33</v>
      </c>
    </row>
    <row r="10" spans="1:10" x14ac:dyDescent="0.25">
      <c r="C10" s="10" t="s">
        <v>2</v>
      </c>
      <c r="D10" s="23">
        <v>20</v>
      </c>
      <c r="E10" s="14" t="s">
        <v>11</v>
      </c>
      <c r="I10" t="s">
        <v>41</v>
      </c>
    </row>
    <row r="11" spans="1:10" x14ac:dyDescent="0.25">
      <c r="C11" s="10" t="s">
        <v>3</v>
      </c>
      <c r="D11" s="23">
        <v>6</v>
      </c>
      <c r="E11" s="9"/>
      <c r="I11" t="s">
        <v>42</v>
      </c>
    </row>
    <row r="12" spans="1:10" x14ac:dyDescent="0.25">
      <c r="C12" s="10"/>
      <c r="D12" s="9"/>
      <c r="E12" s="43" t="s">
        <v>10</v>
      </c>
    </row>
    <row r="13" spans="1:10" x14ac:dyDescent="0.25">
      <c r="C13" s="10" t="s">
        <v>4</v>
      </c>
      <c r="D13" s="41" t="s">
        <v>9</v>
      </c>
      <c r="E13" s="13"/>
    </row>
    <row r="14" spans="1:10" x14ac:dyDescent="0.25">
      <c r="C14" s="10" t="s">
        <v>77</v>
      </c>
      <c r="D14" s="42" t="s">
        <v>72</v>
      </c>
      <c r="E14" s="10"/>
    </row>
    <row r="15" spans="1:10" x14ac:dyDescent="0.25">
      <c r="C15" s="10" t="s">
        <v>78</v>
      </c>
      <c r="D15" s="42" t="s">
        <v>73</v>
      </c>
      <c r="E15" s="10"/>
    </row>
    <row r="16" spans="1:10" x14ac:dyDescent="0.25">
      <c r="C16" s="1"/>
    </row>
    <row r="17" spans="3:11" ht="15.75" x14ac:dyDescent="0.25">
      <c r="C17" s="6" t="s">
        <v>7</v>
      </c>
      <c r="D17" s="2"/>
      <c r="E17" s="2"/>
      <c r="F17" s="2"/>
      <c r="G17" s="2"/>
      <c r="H17" s="2"/>
      <c r="I17" s="2"/>
    </row>
    <row r="18" spans="3:11" x14ac:dyDescent="0.25">
      <c r="C18" s="2"/>
      <c r="D18" s="2"/>
      <c r="E18" s="2"/>
      <c r="F18" s="2"/>
      <c r="G18" s="2"/>
      <c r="H18" s="2"/>
      <c r="I18" s="2"/>
    </row>
    <row r="19" spans="3:11" x14ac:dyDescent="0.25">
      <c r="C19" s="2"/>
      <c r="D19" s="2"/>
      <c r="E19" s="2"/>
      <c r="F19" s="2"/>
      <c r="G19" s="2"/>
      <c r="H19" s="2"/>
      <c r="I19" s="2"/>
      <c r="J19" s="24" t="s">
        <v>75</v>
      </c>
      <c r="K19" s="23" t="s">
        <v>74</v>
      </c>
    </row>
    <row r="20" spans="3:11" x14ac:dyDescent="0.25">
      <c r="C20" s="2"/>
      <c r="D20" s="2"/>
      <c r="E20" s="2"/>
      <c r="F20" s="3" t="s">
        <v>5</v>
      </c>
      <c r="G20" s="2"/>
      <c r="H20" s="2"/>
      <c r="I20" s="2"/>
      <c r="J20" t="s">
        <v>76</v>
      </c>
    </row>
    <row r="21" spans="3:11" x14ac:dyDescent="0.25">
      <c r="C21" s="2"/>
      <c r="D21" s="2"/>
      <c r="E21" s="2"/>
      <c r="F21" s="2"/>
      <c r="G21" s="2"/>
      <c r="H21" s="2"/>
      <c r="I21" s="2"/>
    </row>
    <row r="22" spans="3:11" x14ac:dyDescent="0.25">
      <c r="C22" s="2"/>
      <c r="D22" s="2"/>
      <c r="E22" s="2" t="s">
        <v>12</v>
      </c>
      <c r="F22" s="2"/>
      <c r="G22" s="2"/>
      <c r="H22" s="2"/>
      <c r="I22" s="2"/>
    </row>
    <row r="23" spans="3:11" x14ac:dyDescent="0.25">
      <c r="C23" s="2"/>
      <c r="D23" s="2"/>
      <c r="E23" s="2"/>
      <c r="F23" s="2"/>
      <c r="G23" s="2"/>
      <c r="H23" s="2"/>
      <c r="I23" s="2"/>
    </row>
    <row r="24" spans="3:11" x14ac:dyDescent="0.25">
      <c r="C24" s="2"/>
      <c r="D24" s="2"/>
      <c r="E24" s="2"/>
      <c r="F24" s="2"/>
      <c r="G24" s="2"/>
      <c r="H24" s="2"/>
      <c r="I24" s="2"/>
    </row>
    <row r="30" spans="3:11" x14ac:dyDescent="0.25">
      <c r="C30" s="12"/>
      <c r="D30" s="12"/>
      <c r="E30" s="12"/>
      <c r="F30" s="12"/>
      <c r="H30" t="s">
        <v>61</v>
      </c>
    </row>
    <row r="31" spans="3:11" x14ac:dyDescent="0.25">
      <c r="C31" s="12"/>
      <c r="D31" s="12"/>
      <c r="E31" s="12"/>
      <c r="F31" s="12"/>
    </row>
    <row r="32" spans="3:11" x14ac:dyDescent="0.25">
      <c r="C32" s="12"/>
      <c r="D32" s="12"/>
      <c r="E32" s="12"/>
      <c r="F32" s="12"/>
    </row>
    <row r="33" spans="3:6" x14ac:dyDescent="0.25">
      <c r="C33" s="12"/>
      <c r="D33" s="12"/>
      <c r="E33" s="12"/>
      <c r="F33" s="12"/>
    </row>
    <row r="34" spans="3:6" x14ac:dyDescent="0.25">
      <c r="D34" t="s">
        <v>70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Whole_Data_Process_Whole">
                <anchor moveWithCells="1" sizeWithCells="1">
                  <from>
                    <xdr:col>2</xdr:col>
                    <xdr:colOff>523875</xdr:colOff>
                    <xdr:row>17</xdr:row>
                    <xdr:rowOff>85725</xdr:rowOff>
                  </from>
                  <to>
                    <xdr:col>4</xdr:col>
                    <xdr:colOff>409575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Whole_Data_Process_Step1">
                <anchor moveWithCells="1" sizeWithCells="1">
                  <from>
                    <xdr:col>6</xdr:col>
                    <xdr:colOff>0</xdr:colOff>
                    <xdr:row>17</xdr:row>
                    <xdr:rowOff>104775</xdr:rowOff>
                  </from>
                  <to>
                    <xdr:col>8</xdr:col>
                    <xdr:colOff>85725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Whole_Data_Process_Step2">
                <anchor moveWithCells="1" siz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8</xdr:col>
                    <xdr:colOff>95250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mportData">
                <anchor moveWithCells="1" sizeWithCells="1">
                  <from>
                    <xdr:col>2</xdr:col>
                    <xdr:colOff>342900</xdr:colOff>
                    <xdr:row>1</xdr:row>
                    <xdr:rowOff>76200</xdr:rowOff>
                  </from>
                  <to>
                    <xdr:col>3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deleteworksheet">
                <anchor moveWithCells="1" sizeWithCells="1">
                  <from>
                    <xdr:col>2</xdr:col>
                    <xdr:colOff>838200</xdr:colOff>
                    <xdr:row>20</xdr:row>
                    <xdr:rowOff>85725</xdr:rowOff>
                  </from>
                  <to>
                    <xdr:col>4</xdr:col>
                    <xdr:colOff>95250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deleterawdata">
                <anchor moveWithCells="1" sizeWithCells="1">
                  <from>
                    <xdr:col>3</xdr:col>
                    <xdr:colOff>381000</xdr:colOff>
                    <xdr:row>1</xdr:row>
                    <xdr:rowOff>76200</xdr:rowOff>
                  </from>
                  <to>
                    <xdr:col>4</xdr:col>
                    <xdr:colOff>1181100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0" name="Button 9">
              <controlPr defaultSize="0" print="0" autoFill="0" autoPict="0" macro="[0]!deleteprocessedsheet">
                <anchor moveWithCells="1" sizeWithCells="1">
                  <from>
                    <xdr:col>8</xdr:col>
                    <xdr:colOff>228600</xdr:colOff>
                    <xdr:row>21</xdr:row>
                    <xdr:rowOff>9525</xdr:rowOff>
                  </from>
                  <to>
                    <xdr:col>8</xdr:col>
                    <xdr:colOff>1352550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Button 11">
              <controlPr defaultSize="0" print="0" autoFill="0" autoPict="0" macro="[0]!transfer_row_column">
                <anchor moveWithCells="1" sizeWithCells="1">
                  <from>
                    <xdr:col>5</xdr:col>
                    <xdr:colOff>57150</xdr:colOff>
                    <xdr:row>7</xdr:row>
                    <xdr:rowOff>171450</xdr:rowOff>
                  </from>
                  <to>
                    <xdr:col>6</xdr:col>
                    <xdr:colOff>571500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2" name="Button 12">
              <controlPr defaultSize="0" print="0" autoFill="0" autoPict="0" macro="[0]!MakeFullListofSheet">
                <anchor moveWithCells="1" sizeWithCells="1">
                  <from>
                    <xdr:col>2</xdr:col>
                    <xdr:colOff>38100</xdr:colOff>
                    <xdr:row>30</xdr:row>
                    <xdr:rowOff>66675</xdr:rowOff>
                  </from>
                  <to>
                    <xdr:col>2</xdr:col>
                    <xdr:colOff>1581150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3" name="Button 14">
              <controlPr defaultSize="0" print="0" autoFill="0" autoPict="0" macro="[0]!Color_Scanner_Table">
                <anchor moveWithCells="1" sizeWithCells="1">
                  <from>
                    <xdr:col>3</xdr:col>
                    <xdr:colOff>466725</xdr:colOff>
                    <xdr:row>30</xdr:row>
                    <xdr:rowOff>66675</xdr:rowOff>
                  </from>
                  <to>
                    <xdr:col>4</xdr:col>
                    <xdr:colOff>981075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probe list</vt:lpstr>
      <vt:lpstr>convert sample</vt:lpstr>
      <vt:lpstr>block list</vt:lpstr>
      <vt:lpstr>parameter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luoluo</dc:creator>
  <cp:lastModifiedBy>Lin</cp:lastModifiedBy>
  <cp:lastPrinted>2016-01-28T16:26:13Z</cp:lastPrinted>
  <dcterms:created xsi:type="dcterms:W3CDTF">2015-09-02T02:06:44Z</dcterms:created>
  <dcterms:modified xsi:type="dcterms:W3CDTF">2017-02-16T18:26:23Z</dcterms:modified>
</cp:coreProperties>
</file>